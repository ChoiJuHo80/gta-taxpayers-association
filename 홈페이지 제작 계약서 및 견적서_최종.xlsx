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TA_HOME\"/>
    </mc:Choice>
  </mc:AlternateContent>
  <bookViews>
    <workbookView xWindow="0" yWindow="0" windowWidth="28800" windowHeight="11715" activeTab="1"/>
  </bookViews>
  <sheets>
    <sheet name="홈페이지제작_계약서" sheetId="1" r:id="rId1"/>
    <sheet name="홈페이지제작_견적서" sheetId="2" r:id="rId2"/>
  </sheets>
  <calcPr calcId="162913"/>
</workbook>
</file>

<file path=xl/calcChain.xml><?xml version="1.0" encoding="utf-8"?>
<calcChain xmlns="http://schemas.openxmlformats.org/spreadsheetml/2006/main">
  <c r="F18" i="2" l="1"/>
  <c r="F17" i="2"/>
  <c r="F16" i="2"/>
  <c r="F15" i="2"/>
  <c r="F14" i="2"/>
  <c r="F13" i="2"/>
  <c r="F12" i="2"/>
</calcChain>
</file>

<file path=xl/sharedStrings.xml><?xml version="1.0" encoding="utf-8"?>
<sst xmlns="http://schemas.openxmlformats.org/spreadsheetml/2006/main" count="113" uniqueCount="108">
  <si>
    <t>웹사이트 리뉴얼 제작 및 유지관리 계약서</t>
  </si>
  <si>
    <t>발주자(GTA)와 수급자(최주호)간 홈페이지 리뉴얼, 데이터 이관, 인프라 구축 및 유지관리 용역 계약</t>
  </si>
  <si>
    <t>발주자 ( 이하 "갑" )</t>
  </si>
  <si>
    <t>수급자 ( 이하 "을" )</t>
  </si>
  <si>
    <t>상호 / 기관명</t>
  </si>
  <si>
    <t>GTA (Geoje Taxpayers Association)</t>
  </si>
  <si>
    <t>성    명</t>
  </si>
  <si>
    <t>최 주 호</t>
  </si>
  <si>
    <t>대  표  자</t>
  </si>
  <si>
    <t>관리자 / 대표자</t>
  </si>
  <si>
    <t>연  락  처</t>
  </si>
  <si>
    <t>010-2579-4682</t>
  </si>
  <si>
    <t>주        소</t>
  </si>
  <si>
    <t>거제시</t>
  </si>
  <si>
    <t>이  메  일</t>
  </si>
  <si>
    <t>kyungdea1@gmail.com</t>
  </si>
  <si>
    <t>입금계좌</t>
  </si>
  <si>
    <t xml:space="preserve">카카오 뱅크 (최주호)         3333-02-7060055 </t>
  </si>
  <si>
    <t>제1조 (목적)</t>
  </si>
  <si>
    <t>본 계약은 "갑"이 추진하는 홈페이지 리뉴얼, 기존 고객 데이터 이관, 웹 호스팅 및 SSL/도메인 등 초기 인프라 구축과 향후 시스템 유지관리 용역을 "을"에게 위임하고, "을"이 이를 성실히 수행하기 위한 제반 조건 및 당사자 간의 권리와 의무를 명확히 규정함에 그 목적이 있다.</t>
  </si>
  <si>
    <t>제2조 (계약 용역의 범위)</t>
  </si>
  <si>
    <t>1. GTA 홈페이지 리뉴얼 제작: PC, 모바일, 태블릿 최적화 반응형 웹 구축 및 UI/UX 개선
2. 기존 고객 데이터 완전 이관: 회원 데이터, 세무 신청 접수 내역 및 서류 DB 완전 이관
3. 초기 인프라 구축: 클라우드 웹 서버 및 DB 인프라 세팅, SSL 보안인증서 발급/설치, 도메인 DNS 연동
4. 전용 웹메일 구축: GTA 전용 도메인 메일 계정 세팅 및 MX 레코드 연동 (무상 지원)
5. 유지관리 및 보수: 서버 상태 실시간 모니터링, DB 정기 백업 및 장애 기술 지원
6. 개발 기간 및 착수일: 본 홈페이지 리뉴얼 용역은 개발 착수일로부터 30일 이내에 개발 완료 및 납품한다. (단, 개발 착수일은 착수금을 지급받은 날로 정한다.)</t>
  </si>
  <si>
    <t>제3조 (계약 금액 및 대금 지급 조건)</t>
  </si>
  <si>
    <t>본 프로젝트의 총 제작 및 초기 인프라 구축 비용은 일금 사백육십팔만칠천육백원정 (₩4,687,600)으로 하며 대금은 다음과 같이 지급한다.
1. [선지급금 (착수금)]: 일금 일백육십팔만칠천육백원정 (₩1,687,600)
   - 지급 시기: 개발 착수와 동시에 "갑"이 "을"에게 선지급한다. (입금 완료일을 개발 착수일로 함)
   - 구성 내역: 기존 고객 데이터 이관비(1,200,000원) + 웹 호스팅 1년(150,000원) + SSL 1년(70,000원) + 도메인 1년(30,000원) + 카페24 유료웹메일 1년(237,600원)
2. [완료 잔금 (검수금)]: 일금 삼백만원정 (₩3,000,000)
   - 지급 시기: 홈페이지 리뉴얼 제작이 완료되고, "갑"(관리자)의 최종 검수가 완료되는 시점에 즉시 지급한다.</t>
  </si>
  <si>
    <t>제4조 (월 유지보수 비용 및 서비스 조건)</t>
  </si>
  <si>
    <t>1. 유지보수 비용: 월 30,000원
2. 기본 유지보수 범위: 웹 서버 상태 실시간 모니터링, DB 정기 백업
3. 건별 별도 청구: 기본 범위 외 신규 기능 개발, 웹페이지 추가/개편 등 수정 요청 발생 시 상호 협의하여 건당 별도 청구한다.
4. 무상 하자보수 및 지급 시기: 납품 완료 및 검수 후 3개월간은 무상 하자보수 기간으로 제공되며, 무상 기간 3개월이 경과한 시점부터 매월 1일에 "갑"이 "을"에게 월 유지보수 비용을 지급한다.</t>
  </si>
  <si>
    <t>제5조 (웹호스팅·SSL·도메인 연간 비용 지급 및 대리 결제)</t>
  </si>
  <si>
    <t>1. 연간 인프라 유지 비용: 웹호스팅(150,000원) + SSL인증서(70,000원) + 도메인(30,000원) + 유료웹메일(237,600원) = 총 487,600원 / 년
2. 지급 시기 및 결제 방식: 1년차 비용은 착수 선금에 포함 정산되었으며, 2년차 이후부터 매년 9월 1일에 "갑"이 "을"에게 해당 연간 비용(487,600원)을 지급하며, "을"이 이를 받아 대리 결제 및 갱신 연장을 수행한다.</t>
  </si>
  <si>
    <t>제6조 (데이터 이관 및 비밀유지)</t>
  </si>
  <si>
    <t>1. "을"은 "갑"의 기존 회원 데이터, 세무 신청 접수 내역 및 첨부 서류 DB를 신규 시스템으로 이관함에 있어 유실이나 변형이 없도록 만전을 기하여야 한다.
2. "을"은 용역 수행 과정에서 취득한 "갑"의 고객 개인정보 및 업무상 비밀을 제3자에게 누설하거나 본 계약 목적 외의 용도로 사용하여서는 아니 된다.</t>
  </si>
  <si>
    <t>제7조 (지식재산권 및 관리 권한 이양)</t>
  </si>
  <si>
    <t>1. "갑"이 "을"에게 대금(선금 및 잔금) 지급을 완료한 시점부터 리뉴얼 완성물의 소스코드 및 지식재산권은 "갑"에게 귀속된다.
2. 검수 완료 후 클라우드 서버 계정, SSL 인증서, 도메인 등록 계정의 관리 권한 일체는 "갑" 명의로 완전히 이양된다.</t>
  </si>
  <si>
    <t>제8조 (계약의 해제 및 해지)</t>
  </si>
  <si>
    <t>당사자 일방이 본 계약상의 의무를 위반한 경우 상대방은 14일간의 유예기간을 두어 이행을 최고하고, 미이행 시 본 계약을 해제/해지할 수 있다. "갑"의 귀책사유로 해지 시 "을"이 이미 수행한 작업 분량 및 실비 인프라 결제액은 정산 지급하여야 한다.</t>
  </si>
  <si>
    <t>제9조 (분쟁 해결 및 관할 법원)</t>
  </si>
  <si>
    <t>본 계약과 관련한 분쟁은 상호 협의하여 해결하되, 협의가 이루어지지 아니할 경우 "갑"의 주소지 관할 법원을 합의 관할 법원으로 한다.</t>
  </si>
  <si>
    <t>본 계약 체결을 증명하기 위하여 계약서 2부를 작성하여 "갑"과 "을"이 서명 날인한 후 각 1부씩 보관한다.</t>
  </si>
  <si>
    <t>2026년 09월 14일</t>
  </si>
  <si>
    <t>발주자 ("갑")</t>
  </si>
  <si>
    <t>수급자 ("을")</t>
  </si>
  <si>
    <t>상 호 명 : GTA (Geoje Taxpayers Association)</t>
  </si>
  <si>
    <t>성    명 : 최 주 호  (인)</t>
  </si>
  <si>
    <t>대 표 자 :                  (인)</t>
  </si>
  <si>
    <t>연 락 처 : 010-2579-4682</t>
  </si>
  <si>
    <t>주    소 : 거제시</t>
  </si>
  <si>
    <t>이 메 일 : kyungdea1@gmail.com</t>
  </si>
  <si>
    <t>견    적    서</t>
  </si>
  <si>
    <t>( 홈페이지 리뉴얼 / 데이터 이관 / 인프라 구축 / 유지관리 )</t>
  </si>
  <si>
    <t>제 출 처 :</t>
  </si>
  <si>
    <t>GTA (Geoje Taxpayers Association) 귀중</t>
  </si>
  <si>
    <t>공 급 자 :</t>
  </si>
  <si>
    <t>견적일자 :</t>
  </si>
  <si>
    <t>연 락 처 :</t>
  </si>
  <si>
    <t>제작기간 :</t>
  </si>
  <si>
    <t>착수금 입금일로부터 30일 이내</t>
  </si>
  <si>
    <t>이 메 일 :</t>
  </si>
  <si>
    <t>■ 대금 입금 계좌 :  카카오뱅크  3333-02-7060055  ( 예금주 : 최주호 )</t>
  </si>
  <si>
    <t>구분 / 항목</t>
  </si>
  <si>
    <t>세부 내역 및 범위</t>
  </si>
  <si>
    <t>수량</t>
  </si>
  <si>
    <t>단가 (원)</t>
  </si>
  <si>
    <t>금액 (원)</t>
  </si>
  <si>
    <t>gta 홈페이지 리뉴얼                 (모바일 반응형 웹)</t>
  </si>
  <si>
    <t>PC/모바일/태블릿 반응형 웹 최적화 디자인 포함, 기존 도메인 유지, 기능 및 UI/UX 개선</t>
  </si>
  <si>
    <t>기존 고객 데이터 이관</t>
  </si>
  <si>
    <t>기존 회원 데이터, 세무 신청 접수 내역 및 관련 서류 DB를 리뉴얼 시스템에 완전 이관</t>
  </si>
  <si>
    <t>웹 호스팅 이용료 (1년)</t>
  </si>
  <si>
    <t>클라우드 웹 서버 및 DB 인프라 호스팅 (1년 사용료)</t>
  </si>
  <si>
    <t>SSL 보안인증서 발급 및 설치 (1년)</t>
  </si>
  <si>
    <t>웹사이트 개인정보 보호 및 데이터 암호화 보안인증서 (1년)</t>
  </si>
  <si>
    <t>도메인 등록 및 관리 (1년)</t>
  </si>
  <si>
    <t>홈페이지 대표 도메인 연장 및 DNS 관리 (1년)</t>
  </si>
  <si>
    <t>카페24 유료 웹메일 이용료 및 연동 (1년)</t>
  </si>
  <si>
    <t>기존 유료 웹메일 계정 환경 및 메일 데이터 100% 그대로 유지 (1년 사용료)</t>
  </si>
  <si>
    <t>총 합계 금액</t>
  </si>
  <si>
    <t>■ 대금 지급 조건 (착수금 및 잔금)</t>
  </si>
  <si>
    <t>구분</t>
  </si>
  <si>
    <t>항목 및 구성 내역</t>
  </si>
  <si>
    <t>지급 금액 (원)</t>
  </si>
  <si>
    <t>지급 시기 및 조건</t>
  </si>
  <si>
    <t>선지급금 (선금)</t>
  </si>
  <si>
    <t>고객 데이터 이관(120만) + 웹호스팅(15만) + SSL(7만) + 도메인(3만) + 유료웹메일(23.76만)</t>
  </si>
  <si>
    <t>개발 착수와 동시에 지급</t>
  </si>
  <si>
    <t>완료 잔금</t>
  </si>
  <si>
    <t>gta 홈페이지 리뉴얼 제작비 잔금</t>
  </si>
  <si>
    <t>납품 및 관리자 검수 완료 시</t>
  </si>
  <si>
    <t>■ 유지보수 및 연간 인프라 운영 조건</t>
  </si>
  <si>
    <t>주요 서비스 내용 및 범위</t>
  </si>
  <si>
    <t>주기</t>
  </si>
  <si>
    <t>비용 (원)</t>
  </si>
  <si>
    <t>지급 시기 및 결제 방식</t>
  </si>
  <si>
    <t>월 유지보수</t>
  </si>
  <si>
    <t>웹서버 실시간 모니터링 + DB 정기 백업
(※ 건별 추가 수정 요청 발생 시 건당 별도 청구)</t>
  </si>
  <si>
    <t>매월</t>
  </si>
  <si>
    <t>납품 3개월 후 매월 1일 지급
(납품 후 3개월간 무상보수)</t>
  </si>
  <si>
    <t>연간 인프라 갱신</t>
  </si>
  <si>
    <t>매년</t>
  </si>
  <si>
    <t>매년 9월 1일 지급
('갑'이 '을'에게 지급 시 '을'이 대리 결제)</t>
  </si>
  <si>
    <t>■ Remark (특약 및 참고사항)</t>
  </si>
  <si>
    <t>1. [금액 안내] 본 견적서의 금액은 최종 확정 결제 금액입니다.</t>
  </si>
  <si>
    <t>2. [선금 및 착수일] 총 1,687,600원(데이터 이관비 + 1년차 웹호스팅/SSL/도메인/유료웹메일)은 착수 시 선지급하며, 착수금 입금일을 개발 착수일로 산정하여 30일 이내에 제작 완료합니다.</t>
  </si>
  <si>
    <t>3. [잔금 및 지급] 홈페이지 리뉴얼 제작 잔금 3,000,000원은 납품 완료 후 관리자의 검수가 완료되는 시점에 지급합니다.</t>
  </si>
  <si>
    <t>4. [무상 하자보수] 납품 완료일로부터 3개월간 무상 하자보수를 제공합니다. (기능 버그 및 오류 수정 기준)</t>
  </si>
  <si>
    <t>5. [월 유지보수] 무상 보수 기간(3개월) 종료 후, 월 유지보수 비용 30,000원은 매월 1일에 지급합니다.</t>
  </si>
  <si>
    <t>6. [유지보수 범위] 서버 상태 실시간 모니터링 및 DB 정기 백업이 기본 제공되며, 건별 수정 요청 시 건당 별도 청구됩니다.</t>
  </si>
  <si>
    <t>7. [연간 인프라 대리결제] 웹호스팅, SSL인증서, 도메인, 유료웹메일 연간 비용(총 487,600원)은 매년 9월 1일에 '갑'이 '을'에게 지급하며, '을'이 대리 결제합니다.</t>
  </si>
  <si>
    <t>8. [권리 이양] 클라우드 서버, SSL 인증서, 도메인 계정 소유권 및 관리 권한은 검수 완료 후 고객사(GTA) 명의로 완전 이양됩니다.</t>
  </si>
  <si>
    <t>웹호스팅(15만) + SSL인증서(7만) + 도메인(3만) + 유료웹메일(23.76만)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</si>
</sst>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&quot;원&quot;"/>
  </numFmts>
  <fonts count="21" x14ac:knownFonts="1">
    <font>
      <sz val="11"/>
      <color theme="1"/>
      <name val="맑은 고딕"/>
      <family val="2"/>
      <scheme val="minor"/>
    </font>
    <font>
      <b/>
      <sz val="18"/>
      <color rgb="FF1F4E78"/>
      <name val="맑은 고딕"/>
      <family val="3"/>
      <charset val="129"/>
    </font>
    <font>
      <b/>
      <sz val="10"/>
      <color rgb="FF595959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1"/>
      <color rgb="FF1F4E78"/>
      <name val="맑은 고딕"/>
      <family val="3"/>
      <charset val="129"/>
    </font>
    <font>
      <sz val="9"/>
      <color rgb="FF595959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8"/>
      <color rgb="FF1F4E78"/>
      <name val="맑은 고딕"/>
      <family val="3"/>
      <charset val="129"/>
    </font>
    <font>
      <b/>
      <sz val="10"/>
      <color rgb="FF595959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color rgb="FF1F4E78"/>
      <name val="맑은 고딕"/>
      <family val="3"/>
      <charset val="129"/>
    </font>
    <font>
      <b/>
      <sz val="12"/>
      <color rgb="FF1F4E78"/>
      <name val="맑은 고딕"/>
      <family val="3"/>
      <charset val="129"/>
    </font>
    <font>
      <b/>
      <sz val="10"/>
      <color rgb="FF1F4E78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1F4E78"/>
      </top>
      <bottom style="double">
        <color rgb="FF1F4E78"/>
      </bottom>
      <diagonal/>
    </border>
    <border>
      <left/>
      <right/>
      <top style="medium">
        <color rgb="FF1F4E78"/>
      </top>
      <bottom style="double">
        <color rgb="FF1F4E78"/>
      </bottom>
      <diagonal/>
    </border>
    <border>
      <left/>
      <right style="thin">
        <color rgb="FFD9D9D9"/>
      </right>
      <top style="medium">
        <color rgb="FF1F4E78"/>
      </top>
      <bottom style="double">
        <color rgb="FF1F4E78"/>
      </bottom>
      <diagonal/>
    </border>
    <border>
      <left/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3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left" vertical="center"/>
    </xf>
    <xf numFmtId="0" fontId="17" fillId="7" borderId="11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/>
    </xf>
    <xf numFmtId="0" fontId="0" fillId="0" borderId="0" xfId="0" applyAlignment="1">
      <alignment horizontal="left"/>
    </xf>
    <xf numFmtId="0" fontId="19" fillId="0" borderId="0" xfId="0" applyFont="1"/>
    <xf numFmtId="0" fontId="20" fillId="0" borderId="0" xfId="0" applyFont="1"/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176" fontId="6" fillId="3" borderId="3" xfId="0" applyNumberFormat="1" applyFont="1" applyFill="1" applyBorder="1" applyAlignment="1">
      <alignment horizontal="right" vertical="center"/>
    </xf>
    <xf numFmtId="176" fontId="3" fillId="0" borderId="2" xfId="0" applyNumberFormat="1" applyFont="1" applyBorder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/>
    <xf numFmtId="0" fontId="12" fillId="0" borderId="11" xfId="0" applyFont="1" applyBorder="1" applyAlignment="1">
      <alignment horizontal="left" vertical="center"/>
    </xf>
    <xf numFmtId="0" fontId="0" fillId="0" borderId="8" xfId="0" applyBorder="1"/>
    <xf numFmtId="0" fontId="14" fillId="0" borderId="0" xfId="0" applyFont="1" applyAlignment="1">
      <alignment horizontal="left" vertical="center"/>
    </xf>
    <xf numFmtId="0" fontId="0" fillId="0" borderId="13" xfId="0" applyBorder="1" applyAlignment="1">
      <alignment horizontal="center"/>
    </xf>
    <xf numFmtId="0" fontId="0" fillId="0" borderId="13" xfId="0" applyBorder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13" fillId="5" borderId="11" xfId="0" applyFont="1" applyFill="1" applyBorder="1" applyAlignment="1">
      <alignment horizontal="left" vertical="center" wrapText="1"/>
    </xf>
    <xf numFmtId="0" fontId="0" fillId="0" borderId="9" xfId="0" applyBorder="1"/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6" fillId="3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3" fillId="0" borderId="11" xfId="0" applyNumberFormat="1" applyFont="1" applyBorder="1" applyAlignment="1">
      <alignment horizontal="right" vertical="center"/>
    </xf>
    <xf numFmtId="0" fontId="16" fillId="6" borderId="1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6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1114425</xdr:colOff>
      <xdr:row>42</xdr:row>
      <xdr:rowOff>28575</xdr:rowOff>
    </xdr:from>
    <xdr:ext cx="1047750" cy="42862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820025" y="18564225"/>
          <a:ext cx="1047750" cy="428625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5"/>
  <sheetViews>
    <sheetView workbookViewId="0">
      <selection activeCell="B38" sqref="B38:F38"/>
    </sheetView>
  </sheetViews>
  <sheetFormatPr defaultRowHeight="16.5" x14ac:dyDescent="0.3"/>
  <cols>
    <col min="1" max="1" width="4" style="20" customWidth="1"/>
    <col min="2" max="2" width="24" style="20" customWidth="1"/>
    <col min="3" max="3" width="48" style="20" customWidth="1"/>
    <col min="4" max="4" width="12" style="20" customWidth="1"/>
    <col min="5" max="5" width="16" style="20" customWidth="1"/>
    <col min="6" max="6" width="22" style="20" customWidth="1"/>
    <col min="7" max="7" width="4" style="20" customWidth="1"/>
  </cols>
  <sheetData>
    <row r="1" spans="2:6" x14ac:dyDescent="0.3">
      <c r="B1" s="32" t="s">
        <v>0</v>
      </c>
      <c r="C1" s="25"/>
      <c r="D1" s="25"/>
      <c r="E1" s="25"/>
      <c r="F1" s="25"/>
    </row>
    <row r="2" spans="2:6" ht="26.25" customHeight="1" x14ac:dyDescent="0.3">
      <c r="B2" s="25"/>
      <c r="C2" s="25"/>
      <c r="D2" s="25"/>
      <c r="E2" s="25"/>
      <c r="F2" s="25"/>
    </row>
    <row r="3" spans="2:6" ht="38.1" customHeight="1" x14ac:dyDescent="0.3">
      <c r="B3" s="31" t="s">
        <v>1</v>
      </c>
      <c r="C3" s="25"/>
      <c r="D3" s="25"/>
      <c r="E3" s="25"/>
      <c r="F3" s="25"/>
    </row>
    <row r="4" spans="2:6" x14ac:dyDescent="0.3">
      <c r="B4" s="24"/>
      <c r="C4" s="25"/>
      <c r="D4" s="25"/>
      <c r="E4" s="25"/>
      <c r="F4" s="25"/>
    </row>
    <row r="5" spans="2:6" x14ac:dyDescent="0.3">
      <c r="B5" s="33" t="s">
        <v>2</v>
      </c>
      <c r="C5" s="25"/>
      <c r="E5" s="33" t="s">
        <v>3</v>
      </c>
      <c r="F5" s="25"/>
    </row>
    <row r="6" spans="2:6" ht="20.100000000000001" customHeight="1" x14ac:dyDescent="0.3">
      <c r="B6" s="10" t="s">
        <v>4</v>
      </c>
      <c r="C6" s="11" t="s">
        <v>5</v>
      </c>
      <c r="E6" s="10" t="s">
        <v>6</v>
      </c>
      <c r="F6" s="11" t="s">
        <v>7</v>
      </c>
    </row>
    <row r="7" spans="2:6" ht="20.100000000000001" customHeight="1" x14ac:dyDescent="0.3">
      <c r="B7" s="10" t="s">
        <v>8</v>
      </c>
      <c r="C7" s="11" t="s">
        <v>9</v>
      </c>
      <c r="E7" s="10" t="s">
        <v>10</v>
      </c>
      <c r="F7" s="11" t="s">
        <v>11</v>
      </c>
    </row>
    <row r="8" spans="2:6" ht="20.100000000000001" customHeight="1" x14ac:dyDescent="0.3">
      <c r="B8" s="10" t="s">
        <v>12</v>
      </c>
      <c r="C8" s="11" t="s">
        <v>13</v>
      </c>
      <c r="E8" s="10" t="s">
        <v>14</v>
      </c>
      <c r="F8" s="11" t="s">
        <v>15</v>
      </c>
    </row>
    <row r="9" spans="2:6" ht="44.25" customHeight="1" x14ac:dyDescent="0.3">
      <c r="B9" s="12"/>
      <c r="C9" s="13"/>
      <c r="E9" s="12" t="s">
        <v>16</v>
      </c>
      <c r="F9" s="14" t="s">
        <v>17</v>
      </c>
    </row>
    <row r="10" spans="2:6" ht="26.1" customHeight="1" x14ac:dyDescent="0.3">
      <c r="B10" s="28" t="s">
        <v>18</v>
      </c>
      <c r="C10" s="25"/>
      <c r="D10" s="25"/>
      <c r="E10" s="25"/>
      <c r="F10" s="25"/>
    </row>
    <row r="11" spans="2:6" ht="38.1" customHeight="1" x14ac:dyDescent="0.3">
      <c r="B11" s="36" t="s">
        <v>19</v>
      </c>
      <c r="C11" s="37"/>
      <c r="D11" s="37"/>
      <c r="E11" s="37"/>
      <c r="F11" s="27"/>
    </row>
    <row r="12" spans="2:6" x14ac:dyDescent="0.3">
      <c r="B12" s="34"/>
      <c r="C12" s="35"/>
      <c r="D12" s="35"/>
      <c r="E12" s="35"/>
      <c r="F12" s="35"/>
    </row>
    <row r="13" spans="2:6" ht="26.1" customHeight="1" x14ac:dyDescent="0.3">
      <c r="B13" s="28" t="s">
        <v>20</v>
      </c>
      <c r="C13" s="25"/>
      <c r="D13" s="25"/>
      <c r="E13" s="25"/>
      <c r="F13" s="25"/>
    </row>
    <row r="14" spans="2:6" ht="150" customHeight="1" x14ac:dyDescent="0.3">
      <c r="B14" s="36" t="s">
        <v>21</v>
      </c>
      <c r="C14" s="37"/>
      <c r="D14" s="37"/>
      <c r="E14" s="37"/>
      <c r="F14" s="27"/>
    </row>
    <row r="15" spans="2:6" x14ac:dyDescent="0.3">
      <c r="B15" s="34"/>
      <c r="C15" s="35"/>
      <c r="D15" s="35"/>
      <c r="E15" s="35"/>
      <c r="F15" s="35"/>
    </row>
    <row r="16" spans="2:6" ht="26.1" customHeight="1" x14ac:dyDescent="0.3">
      <c r="B16" s="28" t="s">
        <v>22</v>
      </c>
      <c r="C16" s="25"/>
      <c r="D16" s="25"/>
      <c r="E16" s="25"/>
      <c r="F16" s="25"/>
    </row>
    <row r="17" spans="2:6" ht="195.95" customHeight="1" x14ac:dyDescent="0.3">
      <c r="B17" s="36" t="s">
        <v>23</v>
      </c>
      <c r="C17" s="37"/>
      <c r="D17" s="37"/>
      <c r="E17" s="37"/>
      <c r="F17" s="27"/>
    </row>
    <row r="18" spans="2:6" x14ac:dyDescent="0.3">
      <c r="B18" s="34"/>
      <c r="C18" s="35"/>
      <c r="D18" s="35"/>
      <c r="E18" s="35"/>
      <c r="F18" s="35"/>
    </row>
    <row r="19" spans="2:6" ht="26.1" customHeight="1" x14ac:dyDescent="0.3">
      <c r="B19" s="28" t="s">
        <v>24</v>
      </c>
      <c r="C19" s="25"/>
      <c r="D19" s="25"/>
      <c r="E19" s="25"/>
      <c r="F19" s="25"/>
    </row>
    <row r="20" spans="2:6" ht="104.1" customHeight="1" x14ac:dyDescent="0.3">
      <c r="B20" s="36" t="s">
        <v>25</v>
      </c>
      <c r="C20" s="37"/>
      <c r="D20" s="37"/>
      <c r="E20" s="37"/>
      <c r="F20" s="27"/>
    </row>
    <row r="21" spans="2:6" x14ac:dyDescent="0.3">
      <c r="B21" s="34"/>
      <c r="C21" s="35"/>
      <c r="D21" s="35"/>
      <c r="E21" s="35"/>
      <c r="F21" s="35"/>
    </row>
    <row r="22" spans="2:6" ht="26.1" customHeight="1" x14ac:dyDescent="0.3">
      <c r="B22" s="28" t="s">
        <v>26</v>
      </c>
      <c r="C22" s="25"/>
      <c r="D22" s="25"/>
      <c r="E22" s="25"/>
      <c r="F22" s="25"/>
    </row>
    <row r="23" spans="2:6" ht="62.1" customHeight="1" x14ac:dyDescent="0.3">
      <c r="B23" s="36" t="s">
        <v>27</v>
      </c>
      <c r="C23" s="37"/>
      <c r="D23" s="37"/>
      <c r="E23" s="37"/>
      <c r="F23" s="27"/>
    </row>
    <row r="25" spans="2:6" ht="26.1" customHeight="1" x14ac:dyDescent="0.3">
      <c r="B25" s="28" t="s">
        <v>28</v>
      </c>
      <c r="C25" s="25"/>
      <c r="D25" s="25"/>
      <c r="E25" s="25"/>
      <c r="F25" s="25"/>
    </row>
    <row r="26" spans="2:6" ht="60" customHeight="1" x14ac:dyDescent="0.3">
      <c r="B26" s="36" t="s">
        <v>29</v>
      </c>
      <c r="C26" s="37"/>
      <c r="D26" s="37"/>
      <c r="E26" s="37"/>
      <c r="F26" s="27"/>
    </row>
    <row r="28" spans="2:6" ht="26.1" customHeight="1" x14ac:dyDescent="0.3">
      <c r="B28" s="28" t="s">
        <v>30</v>
      </c>
      <c r="C28" s="25"/>
      <c r="D28" s="25"/>
      <c r="E28" s="25"/>
      <c r="F28" s="25"/>
    </row>
    <row r="29" spans="2:6" ht="60" customHeight="1" x14ac:dyDescent="0.3">
      <c r="B29" s="36" t="s">
        <v>31</v>
      </c>
      <c r="C29" s="37"/>
      <c r="D29" s="37"/>
      <c r="E29" s="37"/>
      <c r="F29" s="27"/>
    </row>
    <row r="30" spans="2:6" x14ac:dyDescent="0.3">
      <c r="B30" s="34"/>
      <c r="C30" s="35"/>
      <c r="D30" s="35"/>
      <c r="E30" s="35"/>
      <c r="F30" s="35"/>
    </row>
    <row r="31" spans="2:6" ht="26.1" customHeight="1" x14ac:dyDescent="0.3">
      <c r="B31" s="28" t="s">
        <v>32</v>
      </c>
      <c r="C31" s="25"/>
      <c r="D31" s="25"/>
      <c r="E31" s="25"/>
      <c r="F31" s="25"/>
    </row>
    <row r="32" spans="2:6" ht="38.1" customHeight="1" x14ac:dyDescent="0.3">
      <c r="B32" s="36" t="s">
        <v>33</v>
      </c>
      <c r="C32" s="37"/>
      <c r="D32" s="37"/>
      <c r="E32" s="37"/>
      <c r="F32" s="27"/>
    </row>
    <row r="33" spans="2:6" x14ac:dyDescent="0.3">
      <c r="B33" s="34"/>
      <c r="C33" s="35"/>
      <c r="D33" s="35"/>
      <c r="E33" s="35"/>
      <c r="F33" s="35"/>
    </row>
    <row r="34" spans="2:6" ht="26.1" customHeight="1" x14ac:dyDescent="0.3">
      <c r="B34" s="28" t="s">
        <v>34</v>
      </c>
      <c r="C34" s="25"/>
      <c r="D34" s="25"/>
      <c r="E34" s="25"/>
      <c r="F34" s="25"/>
    </row>
    <row r="35" spans="2:6" ht="38.1" customHeight="1" x14ac:dyDescent="0.3">
      <c r="B35" s="36" t="s">
        <v>35</v>
      </c>
      <c r="C35" s="37"/>
      <c r="D35" s="37"/>
      <c r="E35" s="37"/>
      <c r="F35" s="27"/>
    </row>
    <row r="36" spans="2:6" x14ac:dyDescent="0.3">
      <c r="B36" s="34"/>
      <c r="C36" s="35"/>
      <c r="D36" s="35"/>
      <c r="E36" s="35"/>
      <c r="F36" s="35"/>
    </row>
    <row r="37" spans="2:6" x14ac:dyDescent="0.3">
      <c r="B37" s="24"/>
      <c r="C37" s="25"/>
      <c r="D37" s="25"/>
      <c r="E37" s="25"/>
      <c r="F37" s="25"/>
    </row>
    <row r="38" spans="2:6" ht="38.1" customHeight="1" x14ac:dyDescent="0.3">
      <c r="B38" s="38" t="s">
        <v>36</v>
      </c>
      <c r="C38" s="25"/>
      <c r="D38" s="25"/>
      <c r="E38" s="25"/>
      <c r="F38" s="25"/>
    </row>
    <row r="39" spans="2:6" x14ac:dyDescent="0.3">
      <c r="B39" s="24"/>
      <c r="C39" s="25"/>
      <c r="D39" s="25"/>
      <c r="E39" s="25"/>
      <c r="F39" s="25"/>
    </row>
    <row r="40" spans="2:6" ht="24" customHeight="1" x14ac:dyDescent="0.3">
      <c r="B40" s="39" t="s">
        <v>37</v>
      </c>
      <c r="C40" s="25"/>
      <c r="D40" s="25"/>
      <c r="E40" s="25"/>
      <c r="F40" s="25"/>
    </row>
    <row r="41" spans="2:6" x14ac:dyDescent="0.3">
      <c r="B41" s="24"/>
      <c r="C41" s="25"/>
      <c r="D41" s="25"/>
      <c r="E41" s="25"/>
      <c r="F41" s="25"/>
    </row>
    <row r="42" spans="2:6" x14ac:dyDescent="0.3">
      <c r="B42" s="33" t="s">
        <v>38</v>
      </c>
      <c r="C42" s="25"/>
      <c r="E42" s="33" t="s">
        <v>39</v>
      </c>
      <c r="F42" s="25"/>
    </row>
    <row r="43" spans="2:6" ht="38.1" customHeight="1" x14ac:dyDescent="0.3">
      <c r="B43" s="26" t="s">
        <v>40</v>
      </c>
      <c r="C43" s="27"/>
      <c r="D43" s="29"/>
      <c r="E43" s="26" t="s">
        <v>41</v>
      </c>
      <c r="F43" s="27"/>
    </row>
    <row r="44" spans="2:6" ht="24" customHeight="1" x14ac:dyDescent="0.3">
      <c r="B44" s="26" t="s">
        <v>42</v>
      </c>
      <c r="C44" s="27"/>
      <c r="D44" s="30"/>
      <c r="E44" s="26" t="s">
        <v>43</v>
      </c>
      <c r="F44" s="27"/>
    </row>
    <row r="45" spans="2:6" ht="24" customHeight="1" x14ac:dyDescent="0.3">
      <c r="B45" s="26" t="s">
        <v>44</v>
      </c>
      <c r="C45" s="27"/>
      <c r="D45" s="30"/>
      <c r="E45" s="26" t="s">
        <v>45</v>
      </c>
      <c r="F45" s="27"/>
    </row>
  </sheetData>
  <mergeCells count="44">
    <mergeCell ref="B45:C45"/>
    <mergeCell ref="B36:F36"/>
    <mergeCell ref="B32:F32"/>
    <mergeCell ref="B26:F26"/>
    <mergeCell ref="B41:F41"/>
    <mergeCell ref="B35:F35"/>
    <mergeCell ref="B40:F40"/>
    <mergeCell ref="B30:F30"/>
    <mergeCell ref="B20:F20"/>
    <mergeCell ref="B15:F15"/>
    <mergeCell ref="B5:C5"/>
    <mergeCell ref="B33:F33"/>
    <mergeCell ref="B3:F3"/>
    <mergeCell ref="B1:F2"/>
    <mergeCell ref="E5:F5"/>
    <mergeCell ref="E42:F42"/>
    <mergeCell ref="B31:F31"/>
    <mergeCell ref="B22:F22"/>
    <mergeCell ref="B18:F18"/>
    <mergeCell ref="B21:F21"/>
    <mergeCell ref="B12:F12"/>
    <mergeCell ref="B39:F39"/>
    <mergeCell ref="B11:F11"/>
    <mergeCell ref="B42:C42"/>
    <mergeCell ref="B23:F23"/>
    <mergeCell ref="B14:F14"/>
    <mergeCell ref="B17:F17"/>
    <mergeCell ref="B13:F13"/>
    <mergeCell ref="B4:F4"/>
    <mergeCell ref="E43:F43"/>
    <mergeCell ref="B16:F16"/>
    <mergeCell ref="D43:D45"/>
    <mergeCell ref="B25:F25"/>
    <mergeCell ref="B43:C43"/>
    <mergeCell ref="E44:F44"/>
    <mergeCell ref="B29:F29"/>
    <mergeCell ref="B44:C44"/>
    <mergeCell ref="B38:F38"/>
    <mergeCell ref="B34:F34"/>
    <mergeCell ref="B10:F10"/>
    <mergeCell ref="B28:F28"/>
    <mergeCell ref="B19:F19"/>
    <mergeCell ref="B37:F37"/>
    <mergeCell ref="E45:F45"/>
  </mergeCells>
  <phoneticPr fontId="8" type="noConversion"/>
  <pageMargins left="0.4" right="0.4" top="0.4" bottom="0.4" header="0.3" footer="0.3"/>
  <pageSetup paperSize="9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abSelected="1" workbookViewId="0">
      <selection sqref="A1:F2"/>
    </sheetView>
  </sheetViews>
  <sheetFormatPr defaultRowHeight="16.5" x14ac:dyDescent="0.3"/>
  <cols>
    <col min="1" max="1" width="4" style="20" customWidth="1"/>
    <col min="2" max="2" width="26" style="20" customWidth="1"/>
    <col min="3" max="3" width="48" style="20" customWidth="1"/>
    <col min="4" max="4" width="8" style="20" customWidth="1"/>
    <col min="5" max="5" width="15" style="20" customWidth="1"/>
    <col min="6" max="6" width="25.5" style="20" customWidth="1"/>
    <col min="7" max="7" width="18" style="20" customWidth="1"/>
  </cols>
  <sheetData>
    <row r="1" spans="1:6" x14ac:dyDescent="0.3">
      <c r="A1" s="46" t="s">
        <v>46</v>
      </c>
      <c r="B1" s="25"/>
      <c r="C1" s="25"/>
      <c r="D1" s="25"/>
      <c r="E1" s="25"/>
      <c r="F1" s="25"/>
    </row>
    <row r="2" spans="1:6" ht="26.25" customHeight="1" x14ac:dyDescent="0.3">
      <c r="A2" s="25"/>
      <c r="B2" s="25"/>
      <c r="C2" s="25"/>
      <c r="D2" s="25"/>
      <c r="E2" s="25"/>
      <c r="F2" s="25"/>
    </row>
    <row r="3" spans="1:6" x14ac:dyDescent="0.3">
      <c r="B3" s="45" t="s">
        <v>47</v>
      </c>
      <c r="C3" s="25"/>
      <c r="D3" s="25"/>
      <c r="E3" s="25"/>
      <c r="F3" s="25"/>
    </row>
    <row r="5" spans="1:6" x14ac:dyDescent="0.3">
      <c r="B5" s="1" t="s">
        <v>48</v>
      </c>
      <c r="C5" s="1" t="s">
        <v>49</v>
      </c>
      <c r="E5" s="1" t="s">
        <v>50</v>
      </c>
      <c r="F5" s="1" t="s">
        <v>7</v>
      </c>
    </row>
    <row r="6" spans="1:6" x14ac:dyDescent="0.3">
      <c r="B6" s="2" t="s">
        <v>51</v>
      </c>
      <c r="C6" s="2" t="s">
        <v>37</v>
      </c>
      <c r="E6" s="2" t="s">
        <v>52</v>
      </c>
      <c r="F6" s="2" t="s">
        <v>11</v>
      </c>
    </row>
    <row r="7" spans="1:6" x14ac:dyDescent="0.3">
      <c r="B7" s="18" t="s">
        <v>53</v>
      </c>
      <c r="C7" s="19" t="s">
        <v>54</v>
      </c>
      <c r="E7" s="2" t="s">
        <v>55</v>
      </c>
      <c r="F7" s="2" t="s">
        <v>15</v>
      </c>
    </row>
    <row r="8" spans="1:6" x14ac:dyDescent="0.3">
      <c r="A8" s="24"/>
      <c r="B8" s="25"/>
      <c r="C8" s="25"/>
      <c r="D8" s="25"/>
      <c r="E8" s="25"/>
      <c r="F8" s="25"/>
    </row>
    <row r="9" spans="1:6" ht="27.95" customHeight="1" x14ac:dyDescent="0.3">
      <c r="B9" s="48" t="s">
        <v>56</v>
      </c>
      <c r="C9" s="37"/>
      <c r="D9" s="37"/>
      <c r="E9" s="37"/>
      <c r="F9" s="27"/>
    </row>
    <row r="10" spans="1:6" x14ac:dyDescent="0.3">
      <c r="A10" s="24"/>
      <c r="B10" s="25"/>
      <c r="C10" s="25"/>
      <c r="D10" s="25"/>
      <c r="E10" s="25"/>
      <c r="F10" s="25"/>
    </row>
    <row r="11" spans="1:6" ht="24" customHeight="1" x14ac:dyDescent="0.3">
      <c r="B11" s="21" t="s">
        <v>57</v>
      </c>
      <c r="C11" s="21" t="s">
        <v>58</v>
      </c>
      <c r="D11" s="21" t="s">
        <v>59</v>
      </c>
      <c r="E11" s="21" t="s">
        <v>60</v>
      </c>
      <c r="F11" s="21" t="s">
        <v>61</v>
      </c>
    </row>
    <row r="12" spans="1:6" ht="30" customHeight="1" x14ac:dyDescent="0.3">
      <c r="B12" s="3" t="s">
        <v>62</v>
      </c>
      <c r="C12" s="4" t="s">
        <v>63</v>
      </c>
      <c r="D12" s="5">
        <v>1</v>
      </c>
      <c r="E12" s="6">
        <v>3000000</v>
      </c>
      <c r="F12" s="7">
        <f t="shared" ref="F12:F17" si="0">D12*E12</f>
        <v>3000000</v>
      </c>
    </row>
    <row r="13" spans="1:6" ht="30" customHeight="1" x14ac:dyDescent="0.3">
      <c r="B13" s="4" t="s">
        <v>64</v>
      </c>
      <c r="C13" s="4" t="s">
        <v>65</v>
      </c>
      <c r="D13" s="5">
        <v>1</v>
      </c>
      <c r="E13" s="6">
        <v>1200000</v>
      </c>
      <c r="F13" s="7">
        <f t="shared" si="0"/>
        <v>1200000</v>
      </c>
    </row>
    <row r="14" spans="1:6" ht="30" customHeight="1" x14ac:dyDescent="0.3">
      <c r="B14" s="4" t="s">
        <v>66</v>
      </c>
      <c r="C14" s="4" t="s">
        <v>67</v>
      </c>
      <c r="D14" s="5">
        <v>1</v>
      </c>
      <c r="E14" s="6">
        <v>150000</v>
      </c>
      <c r="F14" s="6">
        <f t="shared" si="0"/>
        <v>150000</v>
      </c>
    </row>
    <row r="15" spans="1:6" ht="30" customHeight="1" x14ac:dyDescent="0.3">
      <c r="B15" s="4" t="s">
        <v>68</v>
      </c>
      <c r="C15" s="4" t="s">
        <v>69</v>
      </c>
      <c r="D15" s="5">
        <v>1</v>
      </c>
      <c r="E15" s="6">
        <v>70000</v>
      </c>
      <c r="F15" s="6">
        <f t="shared" si="0"/>
        <v>70000</v>
      </c>
    </row>
    <row r="16" spans="1:6" ht="30" customHeight="1" x14ac:dyDescent="0.3">
      <c r="B16" s="4" t="s">
        <v>70</v>
      </c>
      <c r="C16" s="4" t="s">
        <v>71</v>
      </c>
      <c r="D16" s="5">
        <v>1</v>
      </c>
      <c r="E16" s="6">
        <v>30000</v>
      </c>
      <c r="F16" s="6">
        <f t="shared" si="0"/>
        <v>30000</v>
      </c>
    </row>
    <row r="17" spans="2:6" ht="30" customHeight="1" x14ac:dyDescent="0.3">
      <c r="B17" s="4" t="s">
        <v>72</v>
      </c>
      <c r="C17" s="4" t="s">
        <v>73</v>
      </c>
      <c r="D17" s="5">
        <v>1</v>
      </c>
      <c r="E17" s="6">
        <v>237600</v>
      </c>
      <c r="F17" s="6">
        <f t="shared" si="0"/>
        <v>237600</v>
      </c>
    </row>
    <row r="18" spans="2:6" ht="30" customHeight="1" x14ac:dyDescent="0.3">
      <c r="B18" s="41" t="s">
        <v>74</v>
      </c>
      <c r="C18" s="42"/>
      <c r="D18" s="42"/>
      <c r="E18" s="43"/>
      <c r="F18" s="22">
        <f>SUM(F12:F17)</f>
        <v>4687600</v>
      </c>
    </row>
    <row r="20" spans="2:6" x14ac:dyDescent="0.3">
      <c r="B20" s="16" t="s">
        <v>75</v>
      </c>
      <c r="C20" s="16"/>
      <c r="D20" s="17"/>
      <c r="E20" s="17"/>
      <c r="F20" s="17"/>
    </row>
    <row r="21" spans="2:6" ht="21.95" customHeight="1" x14ac:dyDescent="0.3">
      <c r="B21" s="21" t="s">
        <v>76</v>
      </c>
      <c r="C21" s="21" t="s">
        <v>77</v>
      </c>
      <c r="D21" s="49" t="s">
        <v>78</v>
      </c>
      <c r="E21" s="50"/>
      <c r="F21" s="21" t="s">
        <v>79</v>
      </c>
    </row>
    <row r="22" spans="2:6" ht="30" customHeight="1" x14ac:dyDescent="0.3">
      <c r="B22" s="8" t="s">
        <v>80</v>
      </c>
      <c r="C22" s="4" t="s">
        <v>81</v>
      </c>
      <c r="D22" s="47">
        <v>1687600</v>
      </c>
      <c r="E22" s="27"/>
      <c r="F22" s="8" t="s">
        <v>82</v>
      </c>
    </row>
    <row r="23" spans="2:6" ht="30" customHeight="1" x14ac:dyDescent="0.3">
      <c r="B23" s="8" t="s">
        <v>83</v>
      </c>
      <c r="C23" s="4" t="s">
        <v>84</v>
      </c>
      <c r="D23" s="47">
        <v>3000000</v>
      </c>
      <c r="E23" s="27"/>
      <c r="F23" s="8" t="s">
        <v>85</v>
      </c>
    </row>
    <row r="25" spans="2:6" x14ac:dyDescent="0.3">
      <c r="B25" s="16" t="s">
        <v>86</v>
      </c>
      <c r="C25" s="16"/>
      <c r="D25" s="17"/>
      <c r="E25" s="17"/>
      <c r="F25" s="17"/>
    </row>
    <row r="26" spans="2:6" ht="21.95" customHeight="1" x14ac:dyDescent="0.3">
      <c r="B26" s="21" t="s">
        <v>76</v>
      </c>
      <c r="C26" s="21" t="s">
        <v>87</v>
      </c>
      <c r="D26" s="21" t="s">
        <v>88</v>
      </c>
      <c r="E26" s="21" t="s">
        <v>89</v>
      </c>
      <c r="F26" s="21" t="s">
        <v>90</v>
      </c>
    </row>
    <row r="27" spans="2:6" ht="42" customHeight="1" x14ac:dyDescent="0.3">
      <c r="B27" s="8" t="s">
        <v>91</v>
      </c>
      <c r="C27" s="4" t="s">
        <v>92</v>
      </c>
      <c r="D27" s="9" t="s">
        <v>93</v>
      </c>
      <c r="E27" s="23">
        <v>30000</v>
      </c>
      <c r="F27" s="15" t="s">
        <v>94</v>
      </c>
    </row>
    <row r="28" spans="2:6" ht="58.5" customHeight="1" x14ac:dyDescent="0.3">
      <c r="B28" s="8" t="s">
        <v>95</v>
      </c>
      <c r="C28" s="4" t="s">
        <v>107</v>
      </c>
      <c r="D28" s="9" t="s">
        <v>96</v>
      </c>
      <c r="E28" s="23">
        <v>487600</v>
      </c>
      <c r="F28" s="15" t="s">
        <v>97</v>
      </c>
    </row>
    <row r="30" spans="2:6" x14ac:dyDescent="0.3">
      <c r="B30" s="40" t="s">
        <v>98</v>
      </c>
      <c r="C30" s="25"/>
      <c r="D30" s="25"/>
      <c r="E30" s="25"/>
      <c r="F30" s="25"/>
    </row>
    <row r="31" spans="2:6" ht="24" customHeight="1" x14ac:dyDescent="0.3">
      <c r="B31" s="44" t="s">
        <v>99</v>
      </c>
      <c r="C31" s="25"/>
      <c r="D31" s="25"/>
      <c r="E31" s="25"/>
      <c r="F31" s="25"/>
    </row>
    <row r="32" spans="2:6" ht="24" customHeight="1" x14ac:dyDescent="0.3">
      <c r="B32" s="44" t="s">
        <v>100</v>
      </c>
      <c r="C32" s="25"/>
      <c r="D32" s="25"/>
      <c r="E32" s="25"/>
      <c r="F32" s="25"/>
    </row>
    <row r="33" spans="2:6" ht="24" customHeight="1" x14ac:dyDescent="0.3">
      <c r="B33" s="44" t="s">
        <v>101</v>
      </c>
      <c r="C33" s="25"/>
      <c r="D33" s="25"/>
      <c r="E33" s="25"/>
      <c r="F33" s="25"/>
    </row>
    <row r="34" spans="2:6" ht="24" customHeight="1" x14ac:dyDescent="0.3">
      <c r="B34" s="44" t="s">
        <v>102</v>
      </c>
      <c r="C34" s="25"/>
      <c r="D34" s="25"/>
      <c r="E34" s="25"/>
      <c r="F34" s="25"/>
    </row>
    <row r="35" spans="2:6" ht="24" customHeight="1" x14ac:dyDescent="0.3">
      <c r="B35" s="44" t="s">
        <v>103</v>
      </c>
      <c r="C35" s="25"/>
      <c r="D35" s="25"/>
      <c r="E35" s="25"/>
      <c r="F35" s="25"/>
    </row>
    <row r="36" spans="2:6" ht="24" customHeight="1" x14ac:dyDescent="0.3">
      <c r="B36" s="44" t="s">
        <v>104</v>
      </c>
      <c r="C36" s="25"/>
      <c r="D36" s="25"/>
      <c r="E36" s="25"/>
      <c r="F36" s="25"/>
    </row>
    <row r="37" spans="2:6" ht="24" customHeight="1" x14ac:dyDescent="0.3">
      <c r="B37" s="44" t="s">
        <v>105</v>
      </c>
      <c r="C37" s="25"/>
      <c r="D37" s="25"/>
      <c r="E37" s="25"/>
      <c r="F37" s="25"/>
    </row>
    <row r="38" spans="2:6" ht="24" customHeight="1" x14ac:dyDescent="0.3">
      <c r="B38" s="44" t="s">
        <v>106</v>
      </c>
      <c r="C38" s="25"/>
      <c r="D38" s="25"/>
      <c r="E38" s="25"/>
      <c r="F38" s="25"/>
    </row>
  </sheetData>
  <mergeCells count="18">
    <mergeCell ref="B3:F3"/>
    <mergeCell ref="A1:F2"/>
    <mergeCell ref="A8:F8"/>
    <mergeCell ref="B37:F37"/>
    <mergeCell ref="D23:E23"/>
    <mergeCell ref="B31:F31"/>
    <mergeCell ref="D22:E22"/>
    <mergeCell ref="B36:F36"/>
    <mergeCell ref="B32:F32"/>
    <mergeCell ref="B9:F9"/>
    <mergeCell ref="D21:E21"/>
    <mergeCell ref="B30:F30"/>
    <mergeCell ref="B18:E18"/>
    <mergeCell ref="A10:F10"/>
    <mergeCell ref="B38:F38"/>
    <mergeCell ref="B34:F34"/>
    <mergeCell ref="B33:F33"/>
    <mergeCell ref="B35:F35"/>
  </mergeCells>
  <phoneticPr fontId="8" type="noConversion"/>
  <pageMargins left="0.4" right="0.4" top="0.4" bottom="0.4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홈페이지제작_계약서</vt:lpstr>
      <vt:lpstr>홈페이지제작_견적서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EFED0423</cp:lastModifiedBy>
  <dcterms:created xsi:type="dcterms:W3CDTF">2026-09-14T01:22:12Z</dcterms:created>
  <dcterms:modified xsi:type="dcterms:W3CDTF">2026-09-14T04:23:38Z</dcterms:modified>
</cp:coreProperties>
</file>